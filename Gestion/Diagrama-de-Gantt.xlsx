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arioproyecto" sheetId="1" r:id="rId4"/>
  </sheets>
  <externalReferences>
    <externalReference r:id="rId5"/>
    <externalReference r:id="rId6"/>
    <externalReference r:id="rId7"/>
  </externalReferences>
  <definedNames>
    <definedName name="CIQWBGuid">"2cd8126d-26c3-430c-b7fa-a069e3a1fc62"</definedName>
    <definedName name="CODIGO1">[1]DIARIO!$C$12:$C$501</definedName>
    <definedName name="CODIGO2">[2]BALANCE!$A1</definedName>
    <definedName name="DEBE">[1]DIARIO!$F$12:$F$501</definedName>
    <definedName name="HABER">[1]DIARIO!$G$12:$G$501</definedName>
    <definedName localSheetId="0" name="hoy">TODAY()</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41666.7099189815</definedName>
    <definedName name="IQ_NTM">6000</definedName>
    <definedName name="IQ_QTD">750000</definedName>
    <definedName name="IQ_TODAY">0</definedName>
    <definedName name="IQ_WEEK">50000</definedName>
    <definedName name="IQ_YTD">3000</definedName>
    <definedName name="IQ_YTDMONTH">130000</definedName>
    <definedName name="Type">'[3]Maintenance Work Order'!#REF!</definedName>
    <definedName name="InicioDelProyecto">calendarioproyecto!$E$3</definedName>
    <definedName localSheetId="0" name="Progresos">calendarioproyecto!$D$1</definedName>
    <definedName localSheetId="0" name="Fecha_incio">calendarioproyecto!$E$1</definedName>
    <definedName name="SemanaParaMostrar">calendarioproyecto!$E$4</definedName>
    <definedName localSheetId="0" name="Fecha_final">calendarioproyecto!$F$1</definedName>
  </definedNames>
  <calcPr/>
  <extLst>
    <ext uri="GoogleSheetsCustomDataVersion2">
      <go:sheetsCustomData xmlns:go="http://customooxmlschemas.google.com/" r:id="rId8" roundtripDataChecksum="fwtJWu+k2ZHYNcNAxQ1BikiZxzBa6LsZHI0TPc/nexU="/>
    </ext>
  </extLst>
</workbook>
</file>

<file path=xl/sharedStrings.xml><?xml version="1.0" encoding="utf-8"?>
<sst xmlns="http://schemas.openxmlformats.org/spreadsheetml/2006/main" count="94" uniqueCount="65">
  <si>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</si>
  <si>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Proyecto Titulo</t>
  </si>
  <si>
    <t xml:space="preserve">GRÁFICO GANTT  </t>
  </si>
  <si>
    <t>Escriba el nombre de la compañía en la celda B2.</t>
  </si>
  <si>
    <t>Tennis INC</t>
  </si>
  <si>
    <t>Escriba el nombre del responsable del proyecto en la celda B3. Escriba la fecha de comienzo del proyecto en la celda E3. Inicio del proyecto: la etiqueta se encuentra en la celda C3.</t>
  </si>
  <si>
    <t>Dios</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</si>
  <si>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</si>
  <si>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</si>
  <si>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</si>
  <si>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MARZO</t>
  </si>
  <si>
    <t>ABRIL</t>
  </si>
  <si>
    <t>MAYO</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</si>
  <si>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</si>
  <si>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</si>
  <si>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</si>
  <si>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</si>
  <si>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</si>
  <si>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HORA INICIO</t>
  </si>
  <si>
    <t>HORA FIN</t>
  </si>
  <si>
    <t>HORAS TOTAL</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</si>
  <si>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</si>
  <si>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</si>
  <si>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Funciones Sociales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</si>
  <si>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</si>
  <si>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Registro de Usuario</t>
  </si>
  <si>
    <t>Front / Back / Movil</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</si>
  <si>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</si>
  <si>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Visualización de perfil</t>
  </si>
  <si>
    <t>Modificación de Perfil</t>
  </si>
  <si>
    <t>Centro de Notificaciones</t>
  </si>
  <si>
    <t>Gestión de Amistade</t>
  </si>
  <si>
    <t>Panel de Gestión de Amigos</t>
  </si>
  <si>
    <t>Vista de login</t>
  </si>
  <si>
    <t>Pruebas de Funciones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</si>
  <si>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</si>
  <si>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Funciones Marcador</t>
  </si>
  <si>
    <t>Registro de Puntuación</t>
  </si>
  <si>
    <t>Persistencia de Datos</t>
  </si>
  <si>
    <t>Medidas de Tiempo</t>
  </si>
  <si>
    <t>Transmisión en Vivo</t>
  </si>
  <si>
    <t>Registro de Historial (Log)</t>
  </si>
  <si>
    <t>Bloque de título fase de ejemplo</t>
  </si>
  <si>
    <t>Funciones Estadistica</t>
  </si>
  <si>
    <t>Gráfico: Puntos por rango de tiempo</t>
  </si>
  <si>
    <t>Gráfico: Distancia por rango de tiempo</t>
  </si>
  <si>
    <t>Rangos de Puntuación (Cuartiles)</t>
  </si>
  <si>
    <t>Duración Media: Punto Ganado</t>
  </si>
  <si>
    <t xml:space="preserve">Duración Media: Punto Perdido
</t>
  </si>
  <si>
    <t xml:space="preserve">Porcentaje de puntos W/L
</t>
  </si>
  <si>
    <t xml:space="preserve">Récord Histórico (V/D)
</t>
  </si>
  <si>
    <t xml:space="preserve">Duración Total del Partido
</t>
  </si>
  <si>
    <t xml:space="preserve">Break Points Ganados vs Generados
</t>
  </si>
  <si>
    <t xml:space="preserve">Break Points Concedidos vs Perdidos
</t>
  </si>
  <si>
    <t xml:space="preserve">Distancia Total Recorrida
</t>
  </si>
  <si>
    <t>Funciones Competitivo</t>
  </si>
  <si>
    <t xml:space="preserve">Crear Sesión de Juego (Agendamiento)
</t>
  </si>
  <si>
    <t xml:space="preserve">Gestión de Grupos Privados
</t>
  </si>
  <si>
    <t>Back</t>
  </si>
  <si>
    <t>Front</t>
  </si>
  <si>
    <t>Jim Maldonado</t>
  </si>
  <si>
    <t>Maximiliano Huerta</t>
  </si>
  <si>
    <t>Daniel Beltran</t>
  </si>
  <si>
    <t>App Movil</t>
  </si>
  <si>
    <t>Franco Carrasco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</si>
</sst>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dd/mm/yyyy"/>
    <numFmt numFmtId="165" formatCode="d"/>
    <numFmt numFmtId="166" formatCode="d\-m\-yy"/>
    <numFmt numFmtId="167" formatCode="h&quot;:&quot;mm"/>
  </numFmts>
  <fonts count="15">
    <font>
      <sz val="11.0"/>
      <color theme="1"/>
      <name val="Calibri"/>
      <scheme val="minor"/>
    </font>
    <font>
      <sz val="11.0"/>
      <color theme="0"/>
      <name val="Calibri"/>
    </font>
    <font>
      <b/>
      <sz val="22.0"/>
      <color rgb="FF595959"/>
      <name val="Calibri"/>
    </font>
    <font>
      <b/>
      <sz val="20.0"/>
      <color rgb="FF366092"/>
      <name val="Calibri"/>
    </font>
    <font>
      <sz val="10.0"/>
      <color theme="1"/>
      <name val="Calibri"/>
    </font>
    <font>
      <sz val="11.0"/>
      <color theme="1"/>
      <name val="Calibri"/>
    </font>
    <font>
      <sz val="14.0"/>
      <color theme="1"/>
      <name val="Calibri"/>
    </font>
    <font>
      <sz val="10.0"/>
      <color rgb="FF7F7F7F"/>
      <name val="Arial"/>
    </font>
    <font/>
    <font>
      <b/>
      <sz val="9.0"/>
      <color rgb="FFFFFFFF"/>
      <name val="Calibri"/>
    </font>
    <font>
      <sz val="8.0"/>
      <color theme="0"/>
      <name val="Calibri"/>
    </font>
    <font>
      <sz val="9.0"/>
      <color theme="0"/>
      <name val="Calibri"/>
    </font>
    <font>
      <b/>
      <sz val="9.0"/>
      <color theme="0"/>
      <name val="Calibri"/>
    </font>
    <font>
      <color theme="1"/>
      <name val="Calibri"/>
      <scheme val="minor"/>
    </font>
    <font>
      <b/>
      <sz val="11.0"/>
      <color theme="1"/>
      <name val="Calibri"/>
    </font>
  </fonts>
  <fills count="13">
    <fill>
      <patternFill patternType="none"/>
    </fill>
    <fill>
      <patternFill patternType="lightGray"/>
    </fill>
    <fill>
      <patternFill patternType="solid">
        <fgColor rgb="FF00B050"/>
        <bgColor rgb="FF00B050"/>
      </patternFill>
    </fill>
    <fill>
      <patternFill patternType="solid">
        <fgColor rgb="FFB8CCE4"/>
        <bgColor rgb="FFB8CCE4"/>
      </patternFill>
    </fill>
    <fill>
      <patternFill patternType="solid">
        <fgColor rgb="FFDBE5F1"/>
        <bgColor rgb="FFDBE5F1"/>
      </patternFill>
    </fill>
    <fill>
      <patternFill patternType="solid">
        <fgColor theme="0"/>
        <bgColor theme="0"/>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B7B7B7"/>
        <bgColor rgb="FFB7B7B7"/>
      </patternFill>
    </fill>
  </fills>
  <borders count="23">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top style="thin">
        <color rgb="FFA5A5A5"/>
      </top>
      <bottom/>
    </border>
    <border>
      <top style="thin">
        <color rgb="FFA5A5A5"/>
      </top>
      <bottom/>
    </border>
    <border>
      <right/>
      <top style="thin">
        <color rgb="FFA5A5A5"/>
      </top>
      <bottom/>
    </border>
    <border>
      <left style="thin">
        <color rgb="FFA5A5A5"/>
      </left>
      <right style="thin">
        <color rgb="FFA5A5A5"/>
      </right>
      <top/>
      <bottom style="medium">
        <color rgb="FFD8D8D8"/>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
      <left style="thin">
        <color rgb="FFD8D8D8"/>
      </left>
      <top style="medium">
        <color rgb="FFD8D8D8"/>
      </top>
      <bottom style="medium">
        <color rgb="FFD8D8D8"/>
      </bottom>
    </border>
    <border>
      <left style="thin">
        <color rgb="FFD8D8D8"/>
      </left>
      <right style="thin">
        <color rgb="FFD8D8D8"/>
      </right>
      <bottom style="medium">
        <color rgb="FFD8D8D8"/>
      </bottom>
    </border>
    <border>
      <left style="thin">
        <color rgb="FFD8D8D8"/>
      </left>
      <bottom style="medium">
        <color rgb="FFD8D8D8"/>
      </bottom>
    </border>
    <border>
      <left style="thin">
        <color rgb="FFD8D8D8"/>
      </left>
      <right style="thin">
        <color rgb="FFD8D8D8"/>
      </right>
      <top style="medium">
        <color rgb="FFD8D8D8"/>
      </top>
    </border>
    <border>
      <left/>
      <right/>
      <bottom style="medium">
        <color rgb="FFD8D8D8"/>
      </bottom>
    </border>
    <border>
      <left style="thin">
        <color rgb="FFFF0000"/>
      </left>
      <right style="thin">
        <color rgb="FFFF0000"/>
      </right>
      <top style="thin">
        <color rgb="FFFF0000"/>
      </top>
      <bottom style="thin">
        <color rgb="FFFF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1" numFmtId="0" xfId="0" applyFont="1"/>
    <xf borderId="0" fillId="0" fontId="6" numFmtId="0" xfId="0" applyAlignment="1" applyFont="1">
      <alignment readingOrder="0"/>
    </xf>
    <xf borderId="0" fillId="0" fontId="5" numFmtId="0" xfId="0" applyAlignment="1" applyFont="1">
      <alignment horizontal="center"/>
    </xf>
    <xf borderId="0" fillId="0" fontId="7" numFmtId="0" xfId="0" applyAlignment="1" applyFont="1">
      <alignment vertical="top"/>
    </xf>
    <xf borderId="0" fillId="0" fontId="6" numFmtId="0" xfId="0" applyAlignment="1" applyFont="1">
      <alignment readingOrder="0" vertical="top"/>
    </xf>
    <xf borderId="0" fillId="0" fontId="5" numFmtId="0" xfId="0" applyAlignment="1" applyFont="1">
      <alignment horizontal="right"/>
    </xf>
    <xf borderId="1" fillId="0" fontId="8" numFmtId="0" xfId="0" applyBorder="1" applyFont="1"/>
    <xf borderId="2" fillId="0" fontId="5" numFmtId="164" xfId="0" applyAlignment="1" applyBorder="1" applyFont="1" applyNumberFormat="1">
      <alignment horizontal="center" readingOrder="0" vertical="center"/>
    </xf>
    <xf borderId="3" fillId="0" fontId="8" numFmtId="0" xfId="0" applyBorder="1" applyFont="1"/>
    <xf borderId="4" fillId="0" fontId="5" numFmtId="0" xfId="0" applyAlignment="1" applyBorder="1" applyFont="1">
      <alignment horizontal="center" readingOrder="0" vertical="center"/>
    </xf>
    <xf borderId="5" fillId="2" fontId="9" numFmtId="0" xfId="0" applyAlignment="1" applyBorder="1" applyFill="1" applyFont="1">
      <alignment horizontal="center" readingOrder="0" vertical="center"/>
    </xf>
    <xf borderId="6" fillId="0" fontId="8" numFmtId="0" xfId="0" applyBorder="1" applyFont="1"/>
    <xf borderId="7" fillId="0" fontId="8" numFmtId="0" xfId="0" applyBorder="1" applyFont="1"/>
    <xf borderId="8" fillId="2" fontId="10" numFmtId="0" xfId="0" applyAlignment="1" applyBorder="1" applyFont="1">
      <alignment horizontal="center" shrinkToFit="1" vertical="center" wrapText="0"/>
    </xf>
    <xf borderId="9" fillId="0" fontId="5" numFmtId="0" xfId="0" applyBorder="1" applyFont="1"/>
    <xf borderId="9" fillId="0" fontId="8" numFmtId="0" xfId="0" applyBorder="1" applyFont="1"/>
    <xf borderId="10" fillId="2" fontId="11" numFmtId="165" xfId="0" applyAlignment="1" applyBorder="1" applyFont="1" applyNumberFormat="1">
      <alignment horizontal="center" vertical="center"/>
    </xf>
    <xf borderId="11" fillId="2" fontId="11" numFmtId="165" xfId="0" applyAlignment="1" applyBorder="1" applyFont="1" applyNumberFormat="1">
      <alignment horizontal="center" vertical="center"/>
    </xf>
    <xf borderId="12" fillId="2" fontId="11" numFmtId="165" xfId="0" applyAlignment="1" applyBorder="1" applyFont="1" applyNumberFormat="1">
      <alignment horizontal="center" vertical="center"/>
    </xf>
    <xf borderId="13" fillId="2" fontId="12" numFmtId="0" xfId="0" applyAlignment="1" applyBorder="1" applyFont="1">
      <alignment horizontal="left" vertical="center"/>
    </xf>
    <xf borderId="13" fillId="2" fontId="12" numFmtId="0" xfId="0" applyAlignment="1" applyBorder="1" applyFont="1">
      <alignment horizontal="center" shrinkToFit="0" vertical="center" wrapText="1"/>
    </xf>
    <xf borderId="13" fillId="2" fontId="9" numFmtId="0" xfId="0" applyAlignment="1" applyBorder="1" applyFont="1">
      <alignment horizontal="center" readingOrder="0" shrinkToFit="0" vertical="center" wrapText="1"/>
    </xf>
    <xf borderId="0" fillId="0" fontId="5" numFmtId="0" xfId="0" applyAlignment="1" applyFont="1">
      <alignment shrinkToFit="0" wrapText="1"/>
    </xf>
    <xf borderId="0" fillId="0" fontId="13" numFmtId="0" xfId="0" applyFont="1"/>
    <xf borderId="14" fillId="0" fontId="5" numFmtId="0" xfId="0" applyAlignment="1" applyBorder="1" applyFont="1">
      <alignment vertical="center"/>
    </xf>
    <xf borderId="0" fillId="0" fontId="5" numFmtId="0" xfId="0" applyAlignment="1" applyFont="1">
      <alignment vertical="center"/>
    </xf>
    <xf borderId="15" fillId="3" fontId="14" numFmtId="0" xfId="0" applyAlignment="1" applyBorder="1" applyFill="1" applyFont="1">
      <alignment horizontal="left" readingOrder="0" vertical="center"/>
    </xf>
    <xf borderId="15" fillId="3" fontId="5" numFmtId="0" xfId="0" applyAlignment="1" applyBorder="1" applyFont="1">
      <alignment horizontal="center" vertical="center"/>
    </xf>
    <xf borderId="15" fillId="3" fontId="5" numFmtId="9" xfId="0" applyAlignment="1" applyBorder="1" applyFont="1" applyNumberFormat="1">
      <alignment horizontal="center" vertical="center"/>
    </xf>
    <xf borderId="15" fillId="3" fontId="5" numFmtId="166" xfId="0" applyAlignment="1" applyBorder="1" applyFont="1" applyNumberFormat="1">
      <alignment horizontal="center" vertical="center"/>
    </xf>
    <xf borderId="15" fillId="4" fontId="5" numFmtId="0" xfId="0" applyAlignment="1" applyBorder="1" applyFill="1" applyFont="1">
      <alignment horizontal="left" readingOrder="0" vertical="center"/>
    </xf>
    <xf borderId="15" fillId="4" fontId="5" numFmtId="0" xfId="0" applyAlignment="1" applyBorder="1" applyFont="1">
      <alignment horizontal="center" readingOrder="0" vertical="center"/>
    </xf>
    <xf borderId="15" fillId="4" fontId="5" numFmtId="9" xfId="0" applyAlignment="1" applyBorder="1" applyFont="1" applyNumberFormat="1">
      <alignment horizontal="center" vertical="center"/>
    </xf>
    <xf borderId="15" fillId="4" fontId="5" numFmtId="20" xfId="0" applyAlignment="1" applyBorder="1" applyFont="1" applyNumberFormat="1">
      <alignment horizontal="center" readingOrder="0" vertical="center"/>
    </xf>
    <xf borderId="16" fillId="0" fontId="5" numFmtId="20" xfId="0" applyAlignment="1" applyBorder="1" applyFont="1" applyNumberFormat="1">
      <alignment horizontal="center" vertical="center"/>
    </xf>
    <xf borderId="17" fillId="0" fontId="5" numFmtId="0" xfId="0" applyAlignment="1" applyBorder="1" applyFont="1">
      <alignment vertical="center"/>
    </xf>
    <xf borderId="14" fillId="5" fontId="5" numFmtId="0" xfId="0" applyAlignment="1" applyBorder="1" applyFill="1" applyFont="1">
      <alignment vertical="center"/>
    </xf>
    <xf borderId="18" fillId="0" fontId="5" numFmtId="0" xfId="0" applyAlignment="1" applyBorder="1" applyFont="1">
      <alignment vertical="center"/>
    </xf>
    <xf borderId="19" fillId="0" fontId="5" numFmtId="0" xfId="0" applyAlignment="1" applyBorder="1" applyFont="1">
      <alignment vertical="center"/>
    </xf>
    <xf borderId="20" fillId="5" fontId="5" numFmtId="0" xfId="0" applyAlignment="1" applyBorder="1" applyFont="1">
      <alignment vertical="center"/>
    </xf>
    <xf borderId="16" fillId="0" fontId="5" numFmtId="0" xfId="0" applyAlignment="1" applyBorder="1" applyFont="1">
      <alignment vertical="center"/>
    </xf>
    <xf borderId="15" fillId="4" fontId="5" numFmtId="0" xfId="0" applyAlignment="1" applyBorder="1" applyFont="1">
      <alignment horizontal="center" vertical="center"/>
    </xf>
    <xf borderId="15" fillId="6" fontId="14" numFmtId="0" xfId="0" applyAlignment="1" applyBorder="1" applyFill="1" applyFont="1">
      <alignment horizontal="left" readingOrder="0" vertical="center"/>
    </xf>
    <xf borderId="15" fillId="6" fontId="5" numFmtId="0" xfId="0" applyAlignment="1" applyBorder="1" applyFont="1">
      <alignment horizontal="center" vertical="center"/>
    </xf>
    <xf borderId="15" fillId="6" fontId="5" numFmtId="9" xfId="0" applyAlignment="1" applyBorder="1" applyFont="1" applyNumberFormat="1">
      <alignment horizontal="center" vertical="center"/>
    </xf>
    <xf borderId="15" fillId="6" fontId="5" numFmtId="166" xfId="0" applyAlignment="1" applyBorder="1" applyFont="1" applyNumberFormat="1">
      <alignment horizontal="center" vertical="center"/>
    </xf>
    <xf borderId="21" fillId="6" fontId="5" numFmtId="166" xfId="0" applyAlignment="1" applyBorder="1" applyFont="1" applyNumberFormat="1">
      <alignment horizontal="center" vertical="center"/>
    </xf>
    <xf borderId="15" fillId="7" fontId="5" numFmtId="0" xfId="0" applyAlignment="1" applyBorder="1" applyFill="1" applyFont="1">
      <alignment horizontal="left" readingOrder="0" vertical="center"/>
    </xf>
    <xf borderId="15" fillId="7" fontId="5" numFmtId="0" xfId="0" applyAlignment="1" applyBorder="1" applyFont="1">
      <alignment horizontal="center" readingOrder="0" vertical="center"/>
    </xf>
    <xf borderId="15" fillId="7" fontId="5" numFmtId="9" xfId="0" applyAlignment="1" applyBorder="1" applyFont="1" applyNumberFormat="1">
      <alignment horizontal="center" vertical="center"/>
    </xf>
    <xf borderId="15" fillId="7" fontId="5" numFmtId="167" xfId="0" applyAlignment="1" applyBorder="1" applyFont="1" applyNumberFormat="1">
      <alignment horizontal="center" readingOrder="0" vertical="center"/>
    </xf>
    <xf borderId="16" fillId="0" fontId="5" numFmtId="167" xfId="0" applyAlignment="1" applyBorder="1" applyFont="1" applyNumberFormat="1">
      <alignment horizontal="center" vertical="center"/>
    </xf>
    <xf borderId="15" fillId="7" fontId="5" numFmtId="0" xfId="0" applyAlignment="1" applyBorder="1" applyFont="1">
      <alignment horizontal="center" vertical="center"/>
    </xf>
    <xf borderId="15" fillId="7" fontId="5" numFmtId="9" xfId="0" applyAlignment="1" applyBorder="1" applyFont="1" applyNumberFormat="1">
      <alignment horizontal="center" readingOrder="0" vertical="center"/>
    </xf>
    <xf borderId="14" fillId="0" fontId="5" numFmtId="0" xfId="0" applyAlignment="1" applyBorder="1" applyFont="1">
      <alignment horizontal="right" vertical="center"/>
    </xf>
    <xf borderId="15" fillId="8" fontId="14" numFmtId="0" xfId="0" applyAlignment="1" applyBorder="1" applyFill="1" applyFont="1">
      <alignment horizontal="left" readingOrder="0" vertical="center"/>
    </xf>
    <xf borderId="15" fillId="8" fontId="5" numFmtId="0" xfId="0" applyAlignment="1" applyBorder="1" applyFont="1">
      <alignment horizontal="center" vertical="center"/>
    </xf>
    <xf borderId="15" fillId="8" fontId="5" numFmtId="9" xfId="0" applyAlignment="1" applyBorder="1" applyFont="1" applyNumberFormat="1">
      <alignment horizontal="center" vertical="center"/>
    </xf>
    <xf borderId="15" fillId="8" fontId="5" numFmtId="166" xfId="0" applyAlignment="1" applyBorder="1" applyFont="1" applyNumberFormat="1">
      <alignment horizontal="center" vertical="center"/>
    </xf>
    <xf borderId="15" fillId="9" fontId="5" numFmtId="0" xfId="0" applyAlignment="1" applyBorder="1" applyFill="1" applyFont="1">
      <alignment horizontal="left" readingOrder="0" vertical="center"/>
    </xf>
    <xf borderId="15" fillId="9" fontId="5" numFmtId="0" xfId="0" applyAlignment="1" applyBorder="1" applyFont="1">
      <alignment horizontal="center" readingOrder="0" vertical="center"/>
    </xf>
    <xf borderId="15" fillId="9" fontId="5" numFmtId="9" xfId="0" applyAlignment="1" applyBorder="1" applyFont="1" applyNumberFormat="1">
      <alignment horizontal="center" readingOrder="0" vertical="center"/>
    </xf>
    <xf borderId="15" fillId="9" fontId="5" numFmtId="167" xfId="0" applyAlignment="1" applyBorder="1" applyFont="1" applyNumberFormat="1">
      <alignment horizontal="center" readingOrder="0" vertical="center"/>
    </xf>
    <xf borderId="16" fillId="0" fontId="5" numFmtId="167" xfId="0" applyAlignment="1" applyBorder="1" applyFont="1" applyNumberFormat="1">
      <alignment horizontal="center" vertical="center"/>
    </xf>
    <xf borderId="15" fillId="9" fontId="5" numFmtId="0" xfId="0" applyAlignment="1" applyBorder="1" applyFont="1">
      <alignment horizontal="center" vertical="center"/>
    </xf>
    <xf borderId="15" fillId="10" fontId="14" numFmtId="0" xfId="0" applyAlignment="1" applyBorder="1" applyFill="1" applyFont="1">
      <alignment horizontal="left" readingOrder="0" vertical="center"/>
    </xf>
    <xf borderId="15" fillId="10" fontId="5" numFmtId="0" xfId="0" applyAlignment="1" applyBorder="1" applyFont="1">
      <alignment horizontal="center" vertical="center"/>
    </xf>
    <xf borderId="15" fillId="10" fontId="5" numFmtId="9" xfId="0" applyAlignment="1" applyBorder="1" applyFont="1" applyNumberFormat="1">
      <alignment horizontal="center" vertical="center"/>
    </xf>
    <xf borderId="15" fillId="10" fontId="5" numFmtId="166" xfId="0" applyAlignment="1" applyBorder="1" applyFont="1" applyNumberFormat="1">
      <alignment horizontal="center" vertical="center"/>
    </xf>
    <xf borderId="15" fillId="11" fontId="5" numFmtId="0" xfId="0" applyAlignment="1" applyBorder="1" applyFill="1" applyFont="1">
      <alignment horizontal="left" readingOrder="0" vertical="center"/>
    </xf>
    <xf borderId="15" fillId="11" fontId="5" numFmtId="0" xfId="0" applyAlignment="1" applyBorder="1" applyFont="1">
      <alignment horizontal="center" readingOrder="0" vertical="center"/>
    </xf>
    <xf borderId="15" fillId="11" fontId="5" numFmtId="9" xfId="0" applyAlignment="1" applyBorder="1" applyFont="1" applyNumberFormat="1">
      <alignment horizontal="center" readingOrder="0" vertical="center"/>
    </xf>
    <xf borderId="15" fillId="11" fontId="5" numFmtId="167" xfId="0" applyAlignment="1" applyBorder="1" applyFont="1" applyNumberFormat="1">
      <alignment horizontal="center" readingOrder="0" vertical="center"/>
    </xf>
    <xf borderId="0" fillId="11" fontId="5" numFmtId="167" xfId="0" applyAlignment="1" applyFont="1" applyNumberFormat="1">
      <alignment horizontal="center" readingOrder="0" vertical="center"/>
    </xf>
    <xf borderId="0" fillId="11" fontId="5" numFmtId="0" xfId="0" applyAlignment="1" applyFont="1">
      <alignment horizontal="left" readingOrder="0" vertical="center"/>
    </xf>
    <xf borderId="0" fillId="11" fontId="5" numFmtId="0" xfId="0" applyAlignment="1" applyFont="1">
      <alignment horizontal="center" readingOrder="0" vertical="center"/>
    </xf>
    <xf borderId="0" fillId="11" fontId="5" numFmtId="9" xfId="0" applyAlignment="1" applyFont="1" applyNumberFormat="1">
      <alignment horizontal="center" readingOrder="0" vertical="center"/>
    </xf>
    <xf borderId="0" fillId="0" fontId="7" numFmtId="0" xfId="0" applyFont="1"/>
    <xf borderId="22" fillId="12" fontId="5" numFmtId="0" xfId="0" applyAlignment="1" applyBorder="1" applyFill="1" applyFont="1">
      <alignment horizontal="center" readingOrder="0" vertical="center"/>
    </xf>
    <xf borderId="0" fillId="0" fontId="13" numFmtId="0" xfId="0" applyAlignment="1" applyFont="1">
      <alignment readingOrder="0"/>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openxmlformats.org/officeDocument/2006/relationships/externalLink" Target="externalLinks/externalLink3.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IARIO"/>
      <sheetName val="MAYOR"/>
      <sheetName val="BALANCE"/>
      <sheetName val="RESULTADO"/>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31.29"/>
    <col customWidth="1" min="3" max="3" width="30.71"/>
    <col customWidth="1" min="4" max="4" width="10.71"/>
    <col customWidth="1" min="5" max="6" width="10.43"/>
    <col customWidth="1" min="7" max="7" width="7.57"/>
    <col customWidth="1" min="8" max="8" width="13.29"/>
    <col customWidth="1" min="9" max="9" width="5.57"/>
    <col customWidth="1" min="10" max="11" width="2.86"/>
    <col customWidth="1" min="12" max="12" width="5.86"/>
    <col customWidth="1" min="13" max="14" width="2.86"/>
    <col customWidth="1" min="15" max="15" width="11.86"/>
    <col customWidth="1" min="16" max="16" width="5.57"/>
    <col customWidth="1" min="17" max="17" width="2.86"/>
    <col customWidth="1" min="18" max="18" width="2.57"/>
    <col customWidth="1" min="19" max="19" width="6.14"/>
    <col customWidth="1" min="20" max="21" width="2.86"/>
    <col customWidth="1" min="22" max="22" width="11.29"/>
    <col customWidth="1" min="23" max="23" width="5.57"/>
    <col customWidth="1" min="24" max="25" width="2.86"/>
    <col customWidth="1" min="26" max="26" width="5.86"/>
    <col customWidth="1" min="27" max="28" width="2.86"/>
    <col customWidth="1" min="29" max="29" width="11.29"/>
    <col customWidth="1" min="30" max="30" width="5.57"/>
    <col customWidth="1" min="31" max="32" width="2.0"/>
    <col customWidth="1" min="33" max="33" width="5.86"/>
    <col customWidth="1" min="34" max="35" width="2.0"/>
    <col customWidth="1" min="36" max="36" width="11.29"/>
    <col customWidth="1" min="37" max="37" width="5.57"/>
    <col customWidth="1" min="38" max="39" width="2.57"/>
    <col customWidth="1" min="40" max="40" width="5.86"/>
    <col customWidth="1" min="41" max="42" width="2.57"/>
    <col customWidth="1" min="43" max="43" width="11.29"/>
    <col customWidth="1" min="44" max="44" width="5.57"/>
    <col customWidth="1" min="45" max="46" width="2.57"/>
    <col customWidth="1" min="47" max="47" width="5.86"/>
    <col customWidth="1" min="48" max="49" width="2.57"/>
    <col customWidth="1" min="50" max="50" width="11.29"/>
    <col customWidth="1" min="51" max="51" width="5.57"/>
    <col customWidth="1" min="52" max="53" width="2.57"/>
    <col customWidth="1" min="54" max="54" width="5.86"/>
    <col customWidth="1" min="55" max="56" width="2.57"/>
    <col customWidth="1" min="57" max="57" width="11.29"/>
    <col customWidth="1" min="58" max="58" width="5.57"/>
    <col customWidth="1" min="59" max="60" width="2.57"/>
    <col customWidth="1" min="61" max="61" width="5.86"/>
    <col customWidth="1" min="62" max="62" width="2.57"/>
    <col customWidth="1" min="63" max="63" width="2.0"/>
    <col customWidth="1" min="64" max="64" width="12.0"/>
    <col customWidth="1" min="65" max="65" width="5.57"/>
    <col customWidth="1" min="66" max="67" width="2.0"/>
    <col customWidth="1" min="68" max="68" width="5.86"/>
    <col customWidth="1" min="69" max="70" width="2.0"/>
    <col customWidth="1" min="71" max="71" width="4.71"/>
    <col customWidth="1" min="72" max="72" width="5.57"/>
    <col customWidth="1" min="73" max="74" width="2.86"/>
    <col customWidth="1" min="75" max="75" width="5.57"/>
    <col customWidth="1" min="76" max="77" width="2.86"/>
    <col customWidth="1" min="78" max="79" width="5.57"/>
    <col customWidth="1" min="80" max="81" width="2.86"/>
    <col customWidth="1" min="82" max="82" width="5.57"/>
    <col customWidth="1" min="83" max="84" width="2.86"/>
    <col customWidth="1" min="85" max="86" width="5.57"/>
    <col customWidth="1" min="87" max="88" width="2.0"/>
    <col customWidth="1" min="89" max="89" width="5.86"/>
    <col customWidth="1" min="90" max="91" width="2.0"/>
  </cols>
  <sheetData>
    <row r="1" ht="30.0" customHeight="1">
      <c r="A1" s="1" t="s">
        <v>0</v>
      </c>
      <c r="B1" s="2" t="s">
        <v>1</v>
      </c>
      <c r="C1" s="3"/>
      <c r="D1" s="4"/>
      <c r="E1" s="5"/>
      <c r="F1" s="6"/>
      <c r="G1" s="4"/>
      <c r="H1" s="7" t="s">
        <v>2</v>
      </c>
    </row>
    <row r="2" ht="30.0" customHeight="1">
      <c r="A2" s="8" t="s">
        <v>3</v>
      </c>
      <c r="B2" s="9" t="s">
        <v>4</v>
      </c>
      <c r="E2" s="10"/>
      <c r="H2" s="11"/>
    </row>
    <row r="3" ht="30.0" customHeight="1">
      <c r="A3" s="8" t="s">
        <v>5</v>
      </c>
      <c r="B3" s="12" t="s">
        <v>6</v>
      </c>
      <c r="C3" s="13" t="s">
        <v>7</v>
      </c>
      <c r="D3" s="14"/>
      <c r="E3" s="15">
        <v>46090.0</v>
      </c>
      <c r="F3" s="16"/>
    </row>
    <row r="4" ht="30.0" customHeight="1">
      <c r="A4" s="1" t="s">
        <v>8</v>
      </c>
      <c r="C4" s="13" t="s">
        <v>9</v>
      </c>
      <c r="D4" s="14"/>
      <c r="E4" s="17">
        <v>1.0</v>
      </c>
      <c r="H4" s="18" t="s">
        <v>10</v>
      </c>
      <c r="I4" s="19"/>
      <c r="J4" s="19"/>
      <c r="K4" s="19"/>
      <c r="L4" s="19"/>
      <c r="M4" s="19"/>
      <c r="N4" s="19"/>
      <c r="O4" s="19"/>
      <c r="P4" s="19"/>
      <c r="Q4" s="19"/>
      <c r="R4" s="19"/>
      <c r="S4" s="19"/>
      <c r="T4" s="19"/>
      <c r="U4" s="19"/>
      <c r="V4" s="19"/>
      <c r="W4" s="19"/>
      <c r="X4" s="19"/>
      <c r="Y4" s="19"/>
      <c r="Z4" s="19"/>
      <c r="AA4" s="19"/>
      <c r="AB4" s="19"/>
      <c r="AC4" s="19"/>
      <c r="AD4" s="20"/>
      <c r="AE4" s="18" t="s">
        <v>11</v>
      </c>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20"/>
      <c r="BI4" s="18" t="s">
        <v>12</v>
      </c>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20"/>
      <c r="CM4" s="21" t="str">
        <f>IF(TEXT(CM3,"dddd")="lunes","Lunes",
 IF(TEXT(CM3,"dddd")="martes","Martes",
 IF(TEXT(CM3,"dddd")="viernes","Viernes","")))</f>
        <v/>
      </c>
    </row>
    <row r="5" ht="15.0" customHeight="1">
      <c r="A5" s="1" t="s">
        <v>13</v>
      </c>
      <c r="B5" s="22"/>
      <c r="C5" s="23"/>
      <c r="D5" s="23"/>
      <c r="E5" s="23"/>
      <c r="F5" s="23"/>
      <c r="H5" s="24">
        <f>InicioDelProyecto-WEEKDAY(InicioDelProyecto,1)+2+7*(SemanaParaMostrar-1)</f>
        <v>46090</v>
      </c>
      <c r="I5" s="25">
        <f t="shared" ref="I5:CM5" si="1">H5+1</f>
        <v>46091</v>
      </c>
      <c r="J5" s="25">
        <f t="shared" si="1"/>
        <v>46092</v>
      </c>
      <c r="K5" s="25">
        <f t="shared" si="1"/>
        <v>46093</v>
      </c>
      <c r="L5" s="25">
        <f t="shared" si="1"/>
        <v>46094</v>
      </c>
      <c r="M5" s="25">
        <f t="shared" si="1"/>
        <v>46095</v>
      </c>
      <c r="N5" s="26">
        <f t="shared" si="1"/>
        <v>46096</v>
      </c>
      <c r="O5" s="24">
        <f t="shared" si="1"/>
        <v>46097</v>
      </c>
      <c r="P5" s="25">
        <f t="shared" si="1"/>
        <v>46098</v>
      </c>
      <c r="Q5" s="25">
        <f t="shared" si="1"/>
        <v>46099</v>
      </c>
      <c r="R5" s="25">
        <f t="shared" si="1"/>
        <v>46100</v>
      </c>
      <c r="S5" s="25">
        <f t="shared" si="1"/>
        <v>46101</v>
      </c>
      <c r="T5" s="25">
        <f t="shared" si="1"/>
        <v>46102</v>
      </c>
      <c r="U5" s="26">
        <f t="shared" si="1"/>
        <v>46103</v>
      </c>
      <c r="V5" s="24">
        <f t="shared" si="1"/>
        <v>46104</v>
      </c>
      <c r="W5" s="25">
        <f t="shared" si="1"/>
        <v>46105</v>
      </c>
      <c r="X5" s="25">
        <f t="shared" si="1"/>
        <v>46106</v>
      </c>
      <c r="Y5" s="25">
        <f t="shared" si="1"/>
        <v>46107</v>
      </c>
      <c r="Z5" s="25">
        <f t="shared" si="1"/>
        <v>46108</v>
      </c>
      <c r="AA5" s="25">
        <f t="shared" si="1"/>
        <v>46109</v>
      </c>
      <c r="AB5" s="25">
        <f t="shared" si="1"/>
        <v>46110</v>
      </c>
      <c r="AC5" s="24">
        <f t="shared" si="1"/>
        <v>46111</v>
      </c>
      <c r="AD5" s="25">
        <f t="shared" si="1"/>
        <v>46112</v>
      </c>
      <c r="AE5" s="25">
        <f t="shared" si="1"/>
        <v>46113</v>
      </c>
      <c r="AF5" s="25">
        <f t="shared" si="1"/>
        <v>46114</v>
      </c>
      <c r="AG5" s="25">
        <f t="shared" si="1"/>
        <v>46115</v>
      </c>
      <c r="AH5" s="25">
        <f t="shared" si="1"/>
        <v>46116</v>
      </c>
      <c r="AI5" s="26">
        <f t="shared" si="1"/>
        <v>46117</v>
      </c>
      <c r="AJ5" s="24">
        <f t="shared" si="1"/>
        <v>46118</v>
      </c>
      <c r="AK5" s="25">
        <f t="shared" si="1"/>
        <v>46119</v>
      </c>
      <c r="AL5" s="25">
        <f t="shared" si="1"/>
        <v>46120</v>
      </c>
      <c r="AM5" s="25">
        <f t="shared" si="1"/>
        <v>46121</v>
      </c>
      <c r="AN5" s="25">
        <f t="shared" si="1"/>
        <v>46122</v>
      </c>
      <c r="AO5" s="25">
        <f t="shared" si="1"/>
        <v>46123</v>
      </c>
      <c r="AP5" s="26">
        <f t="shared" si="1"/>
        <v>46124</v>
      </c>
      <c r="AQ5" s="24">
        <f t="shared" si="1"/>
        <v>46125</v>
      </c>
      <c r="AR5" s="25">
        <f t="shared" si="1"/>
        <v>46126</v>
      </c>
      <c r="AS5" s="25">
        <f t="shared" si="1"/>
        <v>46127</v>
      </c>
      <c r="AT5" s="25">
        <f t="shared" si="1"/>
        <v>46128</v>
      </c>
      <c r="AU5" s="25">
        <f t="shared" si="1"/>
        <v>46129</v>
      </c>
      <c r="AV5" s="25">
        <f t="shared" si="1"/>
        <v>46130</v>
      </c>
      <c r="AW5" s="26">
        <f t="shared" si="1"/>
        <v>46131</v>
      </c>
      <c r="AX5" s="24">
        <f t="shared" si="1"/>
        <v>46132</v>
      </c>
      <c r="AY5" s="25">
        <f t="shared" si="1"/>
        <v>46133</v>
      </c>
      <c r="AZ5" s="25">
        <f t="shared" si="1"/>
        <v>46134</v>
      </c>
      <c r="BA5" s="25">
        <f t="shared" si="1"/>
        <v>46135</v>
      </c>
      <c r="BB5" s="25">
        <f t="shared" si="1"/>
        <v>46136</v>
      </c>
      <c r="BC5" s="25">
        <f t="shared" si="1"/>
        <v>46137</v>
      </c>
      <c r="BD5" s="26">
        <f t="shared" si="1"/>
        <v>46138</v>
      </c>
      <c r="BE5" s="24">
        <f t="shared" si="1"/>
        <v>46139</v>
      </c>
      <c r="BF5" s="25">
        <f t="shared" si="1"/>
        <v>46140</v>
      </c>
      <c r="BG5" s="25">
        <f t="shared" si="1"/>
        <v>46141</v>
      </c>
      <c r="BH5" s="25">
        <f t="shared" si="1"/>
        <v>46142</v>
      </c>
      <c r="BI5" s="25">
        <f t="shared" si="1"/>
        <v>46143</v>
      </c>
      <c r="BJ5" s="25">
        <f t="shared" si="1"/>
        <v>46144</v>
      </c>
      <c r="BK5" s="26">
        <f t="shared" si="1"/>
        <v>46145</v>
      </c>
      <c r="BL5" s="26">
        <f t="shared" si="1"/>
        <v>46146</v>
      </c>
      <c r="BM5" s="26">
        <f t="shared" si="1"/>
        <v>46147</v>
      </c>
      <c r="BN5" s="26">
        <f t="shared" si="1"/>
        <v>46148</v>
      </c>
      <c r="BO5" s="26">
        <f t="shared" si="1"/>
        <v>46149</v>
      </c>
      <c r="BP5" s="26">
        <f t="shared" si="1"/>
        <v>46150</v>
      </c>
      <c r="BQ5" s="26">
        <f t="shared" si="1"/>
        <v>46151</v>
      </c>
      <c r="BR5" s="26">
        <f t="shared" si="1"/>
        <v>46152</v>
      </c>
      <c r="BS5" s="26">
        <f t="shared" si="1"/>
        <v>46153</v>
      </c>
      <c r="BT5" s="26">
        <f t="shared" si="1"/>
        <v>46154</v>
      </c>
      <c r="BU5" s="26">
        <f t="shared" si="1"/>
        <v>46155</v>
      </c>
      <c r="BV5" s="26">
        <f t="shared" si="1"/>
        <v>46156</v>
      </c>
      <c r="BW5" s="26">
        <f t="shared" si="1"/>
        <v>46157</v>
      </c>
      <c r="BX5" s="26">
        <f t="shared" si="1"/>
        <v>46158</v>
      </c>
      <c r="BY5" s="26">
        <f t="shared" si="1"/>
        <v>46159</v>
      </c>
      <c r="BZ5" s="26">
        <f t="shared" si="1"/>
        <v>46160</v>
      </c>
      <c r="CA5" s="26">
        <f t="shared" si="1"/>
        <v>46161</v>
      </c>
      <c r="CB5" s="26">
        <f t="shared" si="1"/>
        <v>46162</v>
      </c>
      <c r="CC5" s="26">
        <f t="shared" si="1"/>
        <v>46163</v>
      </c>
      <c r="CD5" s="26">
        <f t="shared" si="1"/>
        <v>46164</v>
      </c>
      <c r="CE5" s="26">
        <f t="shared" si="1"/>
        <v>46165</v>
      </c>
      <c r="CF5" s="26">
        <f t="shared" si="1"/>
        <v>46166</v>
      </c>
      <c r="CG5" s="26">
        <f t="shared" si="1"/>
        <v>46167</v>
      </c>
      <c r="CH5" s="26">
        <f t="shared" si="1"/>
        <v>46168</v>
      </c>
      <c r="CI5" s="26">
        <f t="shared" si="1"/>
        <v>46169</v>
      </c>
      <c r="CJ5" s="26">
        <f t="shared" si="1"/>
        <v>46170</v>
      </c>
      <c r="CK5" s="26">
        <f t="shared" si="1"/>
        <v>46171</v>
      </c>
      <c r="CL5" s="26">
        <f t="shared" si="1"/>
        <v>46172</v>
      </c>
      <c r="CM5" s="26">
        <f t="shared" si="1"/>
        <v>46173</v>
      </c>
    </row>
    <row r="6" ht="30.0" customHeight="1">
      <c r="A6" s="1" t="s">
        <v>14</v>
      </c>
      <c r="B6" s="27" t="s">
        <v>15</v>
      </c>
      <c r="C6" s="28" t="s">
        <v>16</v>
      </c>
      <c r="D6" s="28" t="s">
        <v>17</v>
      </c>
      <c r="E6" s="29" t="s">
        <v>18</v>
      </c>
      <c r="F6" s="29" t="s">
        <v>19</v>
      </c>
      <c r="G6" s="29" t="s">
        <v>20</v>
      </c>
      <c r="H6" s="21" t="str">
        <f t="shared" ref="H6:CM6" si="2">IF(TEXT(H5,"dddd")="lunes","Lunes",
 IF(TEXT(H5,"dddd")="martes","Martes",
 IF(TEXT(H5,"dddd")="viernes","Viernes","")))</f>
        <v>Lunes</v>
      </c>
      <c r="I6" s="21" t="str">
        <f t="shared" si="2"/>
        <v>Martes</v>
      </c>
      <c r="J6" s="21" t="str">
        <f t="shared" si="2"/>
        <v/>
      </c>
      <c r="K6" s="21" t="str">
        <f t="shared" si="2"/>
        <v/>
      </c>
      <c r="L6" s="21" t="str">
        <f t="shared" si="2"/>
        <v>Viernes</v>
      </c>
      <c r="M6" s="21" t="str">
        <f t="shared" si="2"/>
        <v/>
      </c>
      <c r="N6" s="21" t="str">
        <f t="shared" si="2"/>
        <v/>
      </c>
      <c r="O6" s="21" t="str">
        <f t="shared" si="2"/>
        <v>Lunes</v>
      </c>
      <c r="P6" s="21" t="str">
        <f t="shared" si="2"/>
        <v>Martes</v>
      </c>
      <c r="Q6" s="21" t="str">
        <f t="shared" si="2"/>
        <v/>
      </c>
      <c r="R6" s="21" t="str">
        <f t="shared" si="2"/>
        <v/>
      </c>
      <c r="S6" s="21" t="str">
        <f t="shared" si="2"/>
        <v>Viernes</v>
      </c>
      <c r="T6" s="21" t="str">
        <f t="shared" si="2"/>
        <v/>
      </c>
      <c r="U6" s="21" t="str">
        <f t="shared" si="2"/>
        <v/>
      </c>
      <c r="V6" s="21" t="str">
        <f t="shared" si="2"/>
        <v>Lunes</v>
      </c>
      <c r="W6" s="21" t="str">
        <f t="shared" si="2"/>
        <v>Martes</v>
      </c>
      <c r="X6" s="21" t="str">
        <f t="shared" si="2"/>
        <v/>
      </c>
      <c r="Y6" s="21" t="str">
        <f t="shared" si="2"/>
        <v/>
      </c>
      <c r="Z6" s="21" t="str">
        <f t="shared" si="2"/>
        <v>Viernes</v>
      </c>
      <c r="AA6" s="21" t="str">
        <f t="shared" si="2"/>
        <v/>
      </c>
      <c r="AB6" s="21" t="str">
        <f t="shared" si="2"/>
        <v/>
      </c>
      <c r="AC6" s="21" t="str">
        <f t="shared" si="2"/>
        <v>Lunes</v>
      </c>
      <c r="AD6" s="21" t="str">
        <f t="shared" si="2"/>
        <v>Martes</v>
      </c>
      <c r="AE6" s="21" t="str">
        <f t="shared" si="2"/>
        <v/>
      </c>
      <c r="AF6" s="21" t="str">
        <f t="shared" si="2"/>
        <v/>
      </c>
      <c r="AG6" s="21" t="str">
        <f t="shared" si="2"/>
        <v>Viernes</v>
      </c>
      <c r="AH6" s="21" t="str">
        <f t="shared" si="2"/>
        <v/>
      </c>
      <c r="AI6" s="21" t="str">
        <f t="shared" si="2"/>
        <v/>
      </c>
      <c r="AJ6" s="21" t="str">
        <f t="shared" si="2"/>
        <v>Lunes</v>
      </c>
      <c r="AK6" s="21" t="str">
        <f t="shared" si="2"/>
        <v>Martes</v>
      </c>
      <c r="AL6" s="21" t="str">
        <f t="shared" si="2"/>
        <v/>
      </c>
      <c r="AM6" s="21" t="str">
        <f t="shared" si="2"/>
        <v/>
      </c>
      <c r="AN6" s="21" t="str">
        <f t="shared" si="2"/>
        <v>Viernes</v>
      </c>
      <c r="AO6" s="21" t="str">
        <f t="shared" si="2"/>
        <v/>
      </c>
      <c r="AP6" s="21" t="str">
        <f t="shared" si="2"/>
        <v/>
      </c>
      <c r="AQ6" s="21" t="str">
        <f t="shared" si="2"/>
        <v>Lunes</v>
      </c>
      <c r="AR6" s="21" t="str">
        <f t="shared" si="2"/>
        <v>Martes</v>
      </c>
      <c r="AS6" s="21" t="str">
        <f t="shared" si="2"/>
        <v/>
      </c>
      <c r="AT6" s="21" t="str">
        <f t="shared" si="2"/>
        <v/>
      </c>
      <c r="AU6" s="21" t="str">
        <f t="shared" si="2"/>
        <v>Viernes</v>
      </c>
      <c r="AV6" s="21" t="str">
        <f t="shared" si="2"/>
        <v/>
      </c>
      <c r="AW6" s="21" t="str">
        <f t="shared" si="2"/>
        <v/>
      </c>
      <c r="AX6" s="21" t="str">
        <f t="shared" si="2"/>
        <v>Lunes</v>
      </c>
      <c r="AY6" s="21" t="str">
        <f t="shared" si="2"/>
        <v>Martes</v>
      </c>
      <c r="AZ6" s="21" t="str">
        <f t="shared" si="2"/>
        <v/>
      </c>
      <c r="BA6" s="21" t="str">
        <f t="shared" si="2"/>
        <v/>
      </c>
      <c r="BB6" s="21" t="str">
        <f t="shared" si="2"/>
        <v>Viernes</v>
      </c>
      <c r="BC6" s="21" t="str">
        <f t="shared" si="2"/>
        <v/>
      </c>
      <c r="BD6" s="21" t="str">
        <f t="shared" si="2"/>
        <v/>
      </c>
      <c r="BE6" s="21" t="str">
        <f t="shared" si="2"/>
        <v>Lunes</v>
      </c>
      <c r="BF6" s="21" t="str">
        <f t="shared" si="2"/>
        <v>Martes</v>
      </c>
      <c r="BG6" s="21" t="str">
        <f t="shared" si="2"/>
        <v/>
      </c>
      <c r="BH6" s="21" t="str">
        <f t="shared" si="2"/>
        <v/>
      </c>
      <c r="BI6" s="21" t="str">
        <f t="shared" si="2"/>
        <v>Viernes</v>
      </c>
      <c r="BJ6" s="21" t="str">
        <f t="shared" si="2"/>
        <v/>
      </c>
      <c r="BK6" s="21" t="str">
        <f t="shared" si="2"/>
        <v/>
      </c>
      <c r="BL6" s="21" t="str">
        <f t="shared" si="2"/>
        <v>Lunes</v>
      </c>
      <c r="BM6" s="21" t="str">
        <f t="shared" si="2"/>
        <v>Martes</v>
      </c>
      <c r="BN6" s="21" t="str">
        <f t="shared" si="2"/>
        <v/>
      </c>
      <c r="BO6" s="21" t="str">
        <f t="shared" si="2"/>
        <v/>
      </c>
      <c r="BP6" s="21" t="str">
        <f t="shared" si="2"/>
        <v>Viernes</v>
      </c>
      <c r="BQ6" s="21" t="str">
        <f t="shared" si="2"/>
        <v/>
      </c>
      <c r="BR6" s="21" t="str">
        <f t="shared" si="2"/>
        <v/>
      </c>
      <c r="BS6" s="21" t="str">
        <f t="shared" si="2"/>
        <v>Lunes</v>
      </c>
      <c r="BT6" s="21" t="str">
        <f t="shared" si="2"/>
        <v>Martes</v>
      </c>
      <c r="BU6" s="21" t="str">
        <f t="shared" si="2"/>
        <v/>
      </c>
      <c r="BV6" s="21" t="str">
        <f t="shared" si="2"/>
        <v/>
      </c>
      <c r="BW6" s="21" t="str">
        <f t="shared" si="2"/>
        <v>Viernes</v>
      </c>
      <c r="BX6" s="21" t="str">
        <f t="shared" si="2"/>
        <v/>
      </c>
      <c r="BY6" s="21" t="str">
        <f t="shared" si="2"/>
        <v/>
      </c>
      <c r="BZ6" s="21" t="str">
        <f t="shared" si="2"/>
        <v>Lunes</v>
      </c>
      <c r="CA6" s="21" t="str">
        <f t="shared" si="2"/>
        <v>Martes</v>
      </c>
      <c r="CB6" s="21" t="str">
        <f t="shared" si="2"/>
        <v/>
      </c>
      <c r="CC6" s="21" t="str">
        <f t="shared" si="2"/>
        <v/>
      </c>
      <c r="CD6" s="21" t="str">
        <f t="shared" si="2"/>
        <v>Viernes</v>
      </c>
      <c r="CE6" s="21" t="str">
        <f t="shared" si="2"/>
        <v/>
      </c>
      <c r="CF6" s="21" t="str">
        <f t="shared" si="2"/>
        <v/>
      </c>
      <c r="CG6" s="21" t="str">
        <f t="shared" si="2"/>
        <v>Lunes</v>
      </c>
      <c r="CH6" s="21" t="str">
        <f t="shared" si="2"/>
        <v>Martes</v>
      </c>
      <c r="CI6" s="21" t="str">
        <f t="shared" si="2"/>
        <v/>
      </c>
      <c r="CJ6" s="21" t="str">
        <f t="shared" si="2"/>
        <v/>
      </c>
      <c r="CK6" s="21" t="str">
        <f t="shared" si="2"/>
        <v>Viernes</v>
      </c>
      <c r="CL6" s="21" t="str">
        <f t="shared" si="2"/>
        <v/>
      </c>
      <c r="CM6" s="21" t="str">
        <f t="shared" si="2"/>
        <v/>
      </c>
    </row>
    <row r="7" ht="30.0" hidden="1" customHeight="1">
      <c r="A7" s="8" t="s">
        <v>21</v>
      </c>
      <c r="C7" s="30"/>
      <c r="G7" s="31" t="str">
        <f>IF(OR(ISBLANK(calendarioproyecto!Fecha_incio),ISBLANK(calendarioproyecto!Fecha_final)),"",calendarioproyecto!Fecha_final-calendarioproyecto!Fecha_incio+1)</f>
        <v/>
      </c>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row>
    <row r="8" ht="30.0" customHeight="1">
      <c r="A8" s="1" t="s">
        <v>22</v>
      </c>
      <c r="B8" s="34" t="s">
        <v>23</v>
      </c>
      <c r="C8" s="35"/>
      <c r="D8" s="36"/>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row>
    <row r="9" ht="30.0" customHeight="1">
      <c r="A9" s="1" t="s">
        <v>24</v>
      </c>
      <c r="B9" s="38" t="s">
        <v>25</v>
      </c>
      <c r="C9" s="39" t="s">
        <v>26</v>
      </c>
      <c r="D9" s="40">
        <v>0.0</v>
      </c>
      <c r="E9" s="41">
        <v>0.2916666666666667</v>
      </c>
      <c r="F9" s="41">
        <v>0.3819444444444444</v>
      </c>
      <c r="G9" s="42">
        <f t="shared" ref="G9:G15" si="3">F9-E9</f>
        <v>0.09027777778</v>
      </c>
      <c r="H9" s="40"/>
      <c r="I9" s="40"/>
      <c r="J9" s="43"/>
      <c r="K9" s="43"/>
      <c r="L9" s="43"/>
      <c r="M9" s="43"/>
      <c r="N9" s="43"/>
      <c r="O9" s="43"/>
      <c r="P9" s="43"/>
      <c r="Q9" s="43"/>
      <c r="R9" s="43"/>
      <c r="S9" s="43"/>
      <c r="T9" s="43"/>
      <c r="U9" s="43"/>
      <c r="V9" s="43"/>
      <c r="W9" s="43"/>
      <c r="X9" s="43"/>
      <c r="Y9" s="43"/>
      <c r="Z9" s="32"/>
      <c r="AA9" s="32"/>
      <c r="AB9" s="43"/>
      <c r="AC9" s="44"/>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row>
    <row r="10" ht="30.0" customHeight="1">
      <c r="A10" s="1" t="s">
        <v>27</v>
      </c>
      <c r="B10" s="38" t="s">
        <v>28</v>
      </c>
      <c r="C10" s="39" t="s">
        <v>26</v>
      </c>
      <c r="D10" s="40">
        <v>0.0</v>
      </c>
      <c r="E10" s="41">
        <v>0.2916666666666667</v>
      </c>
      <c r="F10" s="41">
        <v>0.3472222222222222</v>
      </c>
      <c r="G10" s="42">
        <f t="shared" si="3"/>
        <v>0.05555555556</v>
      </c>
      <c r="H10" s="32"/>
      <c r="I10" s="32"/>
      <c r="J10" s="45"/>
      <c r="K10" s="45"/>
      <c r="L10" s="40"/>
      <c r="M10" s="45"/>
      <c r="N10" s="45"/>
      <c r="O10" s="45"/>
      <c r="P10" s="46"/>
      <c r="Q10" s="46"/>
      <c r="R10" s="46"/>
      <c r="S10" s="46"/>
      <c r="T10" s="46"/>
      <c r="U10" s="46"/>
      <c r="V10" s="46"/>
      <c r="W10" s="46"/>
      <c r="X10" s="46"/>
      <c r="Y10" s="46"/>
      <c r="Z10" s="46"/>
      <c r="AA10" s="46"/>
      <c r="AB10" s="43"/>
      <c r="AC10" s="47"/>
      <c r="AD10" s="46"/>
      <c r="AE10" s="46"/>
      <c r="AF10" s="46"/>
      <c r="AG10" s="46"/>
      <c r="AH10" s="46"/>
      <c r="AI10" s="46"/>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row>
    <row r="11" ht="30.0" customHeight="1">
      <c r="A11" s="8"/>
      <c r="B11" s="38" t="s">
        <v>29</v>
      </c>
      <c r="C11" s="39" t="s">
        <v>26</v>
      </c>
      <c r="D11" s="40">
        <v>0.0</v>
      </c>
      <c r="E11" s="41">
        <v>0.2916666666666667</v>
      </c>
      <c r="F11" s="41">
        <v>0.3819444444444444</v>
      </c>
      <c r="G11" s="42">
        <f t="shared" si="3"/>
        <v>0.09027777778</v>
      </c>
      <c r="H11" s="32"/>
      <c r="I11" s="32"/>
      <c r="J11" s="32"/>
      <c r="K11" s="32"/>
      <c r="L11" s="32"/>
      <c r="M11" s="32"/>
      <c r="N11" s="32"/>
      <c r="O11" s="40"/>
      <c r="P11" s="40"/>
      <c r="Q11" s="43"/>
      <c r="R11" s="43"/>
      <c r="S11" s="43"/>
      <c r="T11" s="43"/>
      <c r="U11" s="43"/>
      <c r="V11" s="43"/>
      <c r="W11" s="43"/>
      <c r="X11" s="43"/>
      <c r="Y11" s="43"/>
      <c r="Z11" s="43"/>
      <c r="AA11" s="48"/>
      <c r="AB11" s="48"/>
      <c r="AC11" s="48"/>
      <c r="AD11" s="48"/>
      <c r="AE11" s="43"/>
      <c r="AF11" s="43"/>
      <c r="AG11" s="43"/>
      <c r="AH11" s="43"/>
      <c r="AI11" s="43"/>
      <c r="AJ11" s="43"/>
      <c r="AK11" s="43"/>
      <c r="AL11" s="43"/>
      <c r="AM11" s="43"/>
      <c r="AN11" s="43"/>
      <c r="AO11" s="43"/>
      <c r="AP11" s="43"/>
      <c r="AQ11" s="43"/>
      <c r="AR11" s="43"/>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row>
    <row r="12" ht="30.0" customHeight="1">
      <c r="A12" s="8"/>
      <c r="B12" s="38" t="s">
        <v>30</v>
      </c>
      <c r="C12" s="39" t="s">
        <v>26</v>
      </c>
      <c r="D12" s="40">
        <v>0.0</v>
      </c>
      <c r="E12" s="41">
        <v>0.2916666666666667</v>
      </c>
      <c r="F12" s="41">
        <v>0.3819444444444444</v>
      </c>
      <c r="G12" s="42">
        <f t="shared" si="3"/>
        <v>0.09027777778</v>
      </c>
      <c r="H12" s="32"/>
      <c r="I12" s="32"/>
      <c r="J12" s="32"/>
      <c r="K12" s="32"/>
      <c r="L12" s="32"/>
      <c r="M12" s="32"/>
      <c r="N12" s="32"/>
      <c r="O12" s="32"/>
      <c r="P12" s="32"/>
      <c r="Q12" s="45"/>
      <c r="R12" s="45"/>
      <c r="S12" s="40"/>
      <c r="T12" s="45"/>
      <c r="U12" s="45"/>
      <c r="V12" s="45"/>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row>
    <row r="13" ht="33.75" customHeight="1">
      <c r="A13" s="8"/>
      <c r="B13" s="38" t="s">
        <v>31</v>
      </c>
      <c r="C13" s="39" t="s">
        <v>26</v>
      </c>
      <c r="D13" s="40">
        <v>0.0</v>
      </c>
      <c r="E13" s="41">
        <v>0.2916666666666667</v>
      </c>
      <c r="F13" s="41">
        <v>0.3472222222222222</v>
      </c>
      <c r="G13" s="42">
        <f t="shared" si="3"/>
        <v>0.05555555556</v>
      </c>
      <c r="H13" s="32"/>
      <c r="I13" s="32"/>
      <c r="J13" s="32"/>
      <c r="K13" s="32"/>
      <c r="L13" s="32"/>
      <c r="M13" s="32"/>
      <c r="N13" s="32"/>
      <c r="O13" s="32"/>
      <c r="P13" s="32"/>
      <c r="Q13" s="32"/>
      <c r="R13" s="32"/>
      <c r="S13" s="32"/>
      <c r="T13" s="32"/>
      <c r="U13" s="32"/>
      <c r="V13" s="40"/>
      <c r="W13" s="40"/>
      <c r="X13" s="45"/>
      <c r="Y13" s="45"/>
      <c r="Z13" s="45"/>
      <c r="AA13" s="45"/>
      <c r="AB13" s="45"/>
      <c r="AC13" s="45"/>
      <c r="AD13" s="46"/>
      <c r="AE13" s="46"/>
      <c r="AF13" s="46"/>
      <c r="AG13" s="46"/>
      <c r="AH13" s="46"/>
      <c r="AI13" s="46"/>
      <c r="AJ13" s="46"/>
      <c r="AK13" s="46"/>
      <c r="AL13" s="46"/>
      <c r="AM13" s="46"/>
      <c r="AN13" s="46"/>
      <c r="AO13" s="46"/>
      <c r="AP13" s="46"/>
      <c r="AQ13" s="46"/>
      <c r="AR13" s="46"/>
      <c r="AS13" s="46"/>
      <c r="AT13" s="46"/>
      <c r="AU13" s="46"/>
      <c r="AV13" s="46"/>
      <c r="AW13" s="46"/>
      <c r="AX13" s="46"/>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row>
    <row r="14" ht="33.75" customHeight="1">
      <c r="A14" s="8"/>
      <c r="B14" s="38" t="s">
        <v>32</v>
      </c>
      <c r="C14" s="39" t="s">
        <v>26</v>
      </c>
      <c r="D14" s="40">
        <v>0.0</v>
      </c>
      <c r="E14" s="41">
        <v>0.2916666666666667</v>
      </c>
      <c r="F14" s="41">
        <v>0.3819444444444444</v>
      </c>
      <c r="G14" s="42">
        <f t="shared" si="3"/>
        <v>0.09027777778</v>
      </c>
      <c r="H14" s="32"/>
      <c r="I14" s="32"/>
      <c r="J14" s="32"/>
      <c r="K14" s="32"/>
      <c r="L14" s="32"/>
      <c r="M14" s="32"/>
      <c r="N14" s="32"/>
      <c r="O14" s="32"/>
      <c r="P14" s="32"/>
      <c r="Q14" s="32"/>
      <c r="R14" s="32"/>
      <c r="S14" s="32"/>
      <c r="T14" s="32"/>
      <c r="U14" s="32"/>
      <c r="V14" s="32"/>
      <c r="W14" s="32"/>
      <c r="X14" s="32"/>
      <c r="Y14" s="32"/>
      <c r="Z14" s="40"/>
      <c r="AA14" s="32"/>
      <c r="AB14" s="43"/>
      <c r="AC14" s="43"/>
      <c r="AD14" s="43"/>
      <c r="AE14" s="43"/>
      <c r="AF14" s="43"/>
      <c r="AG14" s="43"/>
      <c r="AH14" s="43"/>
      <c r="AI14" s="43"/>
      <c r="AJ14" s="43"/>
      <c r="AK14" s="43"/>
      <c r="AL14" s="43"/>
      <c r="AM14" s="43"/>
      <c r="AN14" s="43"/>
      <c r="AO14" s="43"/>
      <c r="AP14" s="43"/>
      <c r="AQ14" s="43"/>
      <c r="AR14" s="43"/>
      <c r="AS14" s="43"/>
      <c r="AT14" s="43"/>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row>
    <row r="15" ht="33.75" customHeight="1">
      <c r="A15" s="8"/>
      <c r="B15" s="38" t="s">
        <v>33</v>
      </c>
      <c r="C15" s="39" t="s">
        <v>26</v>
      </c>
      <c r="D15" s="40">
        <v>0.0</v>
      </c>
      <c r="E15" s="41">
        <v>0.2916666666666667</v>
      </c>
      <c r="F15" s="41">
        <v>0.3819444444444444</v>
      </c>
      <c r="G15" s="42">
        <f t="shared" si="3"/>
        <v>0.09027777778</v>
      </c>
      <c r="H15" s="32"/>
      <c r="I15" s="32"/>
      <c r="J15" s="32"/>
      <c r="K15" s="32"/>
      <c r="L15" s="32"/>
      <c r="M15" s="32"/>
      <c r="N15" s="32"/>
      <c r="O15" s="32"/>
      <c r="P15" s="32"/>
      <c r="Q15" s="32"/>
      <c r="R15" s="32"/>
      <c r="S15" s="32"/>
      <c r="T15" s="32"/>
      <c r="U15" s="32"/>
      <c r="V15" s="32"/>
      <c r="W15" s="32"/>
      <c r="X15" s="32"/>
      <c r="Y15" s="32"/>
      <c r="Z15" s="32"/>
      <c r="AA15" s="32"/>
      <c r="AB15" s="32"/>
      <c r="AC15" s="40"/>
      <c r="AD15" s="40"/>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row>
    <row r="16" ht="33.75" customHeight="1">
      <c r="A16" s="8"/>
      <c r="B16" s="38" t="s">
        <v>34</v>
      </c>
      <c r="C16" s="49"/>
      <c r="D16" s="40"/>
      <c r="E16" s="41"/>
      <c r="F16" s="41"/>
      <c r="G16" s="32"/>
      <c r="H16" s="40"/>
      <c r="I16" s="40"/>
      <c r="J16" s="40"/>
      <c r="K16" s="40"/>
      <c r="L16" s="40"/>
      <c r="M16" s="40"/>
      <c r="N16" s="40"/>
      <c r="O16" s="40"/>
      <c r="P16" s="40"/>
      <c r="Q16" s="40"/>
      <c r="R16" s="40"/>
      <c r="S16" s="40"/>
      <c r="T16" s="40"/>
      <c r="U16" s="40"/>
      <c r="V16" s="40"/>
      <c r="W16" s="40"/>
      <c r="X16" s="40"/>
      <c r="Y16" s="40"/>
      <c r="Z16" s="40"/>
      <c r="AA16" s="40"/>
      <c r="AB16" s="40"/>
      <c r="AC16" s="40"/>
      <c r="AD16" s="40"/>
      <c r="AE16" s="40"/>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row>
    <row r="17" ht="30.0" customHeight="1">
      <c r="A17" s="1" t="s">
        <v>35</v>
      </c>
      <c r="B17" s="50" t="s">
        <v>36</v>
      </c>
      <c r="C17" s="51"/>
      <c r="D17" s="52"/>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4"/>
      <c r="AM17" s="54"/>
      <c r="AN17" s="54"/>
      <c r="AO17" s="54"/>
      <c r="AP17" s="54"/>
      <c r="AQ17" s="54"/>
      <c r="AR17" s="54"/>
      <c r="AS17" s="54"/>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row>
    <row r="18" ht="30.0" customHeight="1">
      <c r="A18" s="1"/>
      <c r="B18" s="55" t="s">
        <v>37</v>
      </c>
      <c r="C18" s="56" t="s">
        <v>26</v>
      </c>
      <c r="D18" s="57">
        <v>0.0</v>
      </c>
      <c r="E18" s="58">
        <v>0.2916666666666667</v>
      </c>
      <c r="F18" s="58">
        <v>0.3819444444444444</v>
      </c>
      <c r="G18" s="59">
        <f t="shared" ref="G18:G22" si="4">F18-E18</f>
        <v>0.09027777778</v>
      </c>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60"/>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row>
    <row r="19" ht="30.0" customHeight="1">
      <c r="A19" s="8"/>
      <c r="B19" s="55" t="s">
        <v>38</v>
      </c>
      <c r="C19" s="56" t="s">
        <v>26</v>
      </c>
      <c r="D19" s="61">
        <v>0.0</v>
      </c>
      <c r="E19" s="58">
        <v>0.2916666666666667</v>
      </c>
      <c r="F19" s="58">
        <v>0.3819444444444444</v>
      </c>
      <c r="G19" s="59">
        <f t="shared" si="4"/>
        <v>0.09027777778</v>
      </c>
      <c r="H19" s="32"/>
      <c r="I19" s="32"/>
      <c r="J19" s="32"/>
      <c r="K19" s="32"/>
      <c r="L19" s="32"/>
      <c r="M19" s="32"/>
      <c r="N19" s="32"/>
      <c r="O19" s="32"/>
      <c r="P19" s="32"/>
      <c r="Q19" s="32"/>
      <c r="R19" s="32"/>
      <c r="S19" s="32"/>
      <c r="T19" s="62"/>
      <c r="U19" s="62"/>
      <c r="V19" s="32"/>
      <c r="W19" s="32"/>
      <c r="X19" s="32"/>
      <c r="Y19" s="32"/>
      <c r="Z19" s="32"/>
      <c r="AA19" s="32"/>
      <c r="AB19" s="32"/>
      <c r="AC19" s="32"/>
      <c r="AD19" s="32"/>
      <c r="AE19" s="32"/>
      <c r="AF19" s="32"/>
      <c r="AG19" s="32"/>
      <c r="AH19" s="32"/>
      <c r="AI19" s="32"/>
      <c r="AJ19" s="60"/>
      <c r="AK19" s="60"/>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row>
    <row r="20" ht="30.0" customHeight="1">
      <c r="A20" s="8"/>
      <c r="B20" s="55" t="s">
        <v>39</v>
      </c>
      <c r="C20" s="56" t="s">
        <v>26</v>
      </c>
      <c r="D20" s="57">
        <v>0.0</v>
      </c>
      <c r="E20" s="58">
        <v>0.2916666666666667</v>
      </c>
      <c r="F20" s="58">
        <v>0.3472222222222222</v>
      </c>
      <c r="G20" s="59">
        <f t="shared" si="4"/>
        <v>0.05555555556</v>
      </c>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60"/>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row>
    <row r="21" ht="30.0" customHeight="1">
      <c r="A21" s="8"/>
      <c r="B21" s="55" t="s">
        <v>40</v>
      </c>
      <c r="C21" s="56" t="s">
        <v>26</v>
      </c>
      <c r="D21" s="61">
        <v>0.0</v>
      </c>
      <c r="E21" s="58">
        <v>0.2916666666666667</v>
      </c>
      <c r="F21" s="58">
        <v>0.3819444444444444</v>
      </c>
      <c r="G21" s="59">
        <f t="shared" si="4"/>
        <v>0.09027777778</v>
      </c>
      <c r="H21" s="32"/>
      <c r="I21" s="32"/>
      <c r="J21" s="32"/>
      <c r="K21" s="32"/>
      <c r="L21" s="32"/>
      <c r="M21" s="32"/>
      <c r="N21" s="32"/>
      <c r="O21" s="32"/>
      <c r="P21" s="32"/>
      <c r="Q21" s="32"/>
      <c r="R21" s="32"/>
      <c r="S21" s="32"/>
      <c r="T21" s="32"/>
      <c r="U21" s="32"/>
      <c r="V21" s="32"/>
      <c r="W21" s="32"/>
      <c r="X21" s="62"/>
      <c r="Y21" s="32"/>
      <c r="Z21" s="32"/>
      <c r="AA21" s="32"/>
      <c r="AB21" s="32"/>
      <c r="AC21" s="32"/>
      <c r="AD21" s="32"/>
      <c r="AE21" s="32"/>
      <c r="AF21" s="32"/>
      <c r="AG21" s="32"/>
      <c r="AH21" s="32"/>
      <c r="AI21" s="32"/>
      <c r="AJ21" s="32"/>
      <c r="AK21" s="32"/>
      <c r="AL21" s="32"/>
      <c r="AM21" s="32"/>
      <c r="AN21" s="32"/>
      <c r="AO21" s="32"/>
      <c r="AP21" s="32"/>
      <c r="AQ21" s="60"/>
      <c r="AR21" s="60"/>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row>
    <row r="22" ht="30.0" customHeight="1">
      <c r="A22" s="8"/>
      <c r="B22" s="55" t="s">
        <v>41</v>
      </c>
      <c r="C22" s="56" t="s">
        <v>26</v>
      </c>
      <c r="D22" s="61">
        <v>0.0</v>
      </c>
      <c r="E22" s="58">
        <v>0.2916666666666667</v>
      </c>
      <c r="F22" s="58">
        <v>0.3819444444444444</v>
      </c>
      <c r="G22" s="59">
        <f t="shared" si="4"/>
        <v>0.09027777778</v>
      </c>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60"/>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row>
    <row r="23" ht="30.0" customHeight="1">
      <c r="A23" s="8"/>
      <c r="B23" s="55" t="s">
        <v>34</v>
      </c>
      <c r="C23" s="60"/>
      <c r="D23" s="61"/>
      <c r="E23" s="58"/>
      <c r="F23" s="58"/>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60"/>
      <c r="AH23" s="60"/>
      <c r="AI23" s="60"/>
      <c r="AJ23" s="60"/>
      <c r="AK23" s="60"/>
      <c r="AL23" s="60"/>
      <c r="AM23" s="60"/>
      <c r="AN23" s="60"/>
      <c r="AO23" s="60"/>
      <c r="AP23" s="60"/>
      <c r="AQ23" s="60"/>
      <c r="AR23" s="60"/>
      <c r="AS23" s="60"/>
      <c r="AT23" s="60"/>
      <c r="AU23" s="60"/>
      <c r="AV23" s="60"/>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row>
    <row r="24" ht="30.0" customHeight="1">
      <c r="A24" s="8" t="s">
        <v>42</v>
      </c>
      <c r="B24" s="63" t="s">
        <v>43</v>
      </c>
      <c r="C24" s="64"/>
      <c r="D24" s="65"/>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row>
    <row r="25" ht="30.0" customHeight="1">
      <c r="A25" s="8"/>
      <c r="B25" s="67" t="s">
        <v>44</v>
      </c>
      <c r="C25" s="68" t="s">
        <v>26</v>
      </c>
      <c r="D25" s="69">
        <v>0.0</v>
      </c>
      <c r="E25" s="70">
        <v>0.2916666666666667</v>
      </c>
      <c r="F25" s="70">
        <v>0.3472222222222222</v>
      </c>
      <c r="G25" s="71">
        <f t="shared" ref="G25:G35" si="5">F25-E25</f>
        <v>0.05555555556</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72"/>
      <c r="AY25" s="7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row>
    <row r="26" ht="30.0" customHeight="1">
      <c r="A26" s="8"/>
      <c r="B26" s="67" t="s">
        <v>45</v>
      </c>
      <c r="C26" s="68" t="s">
        <v>26</v>
      </c>
      <c r="D26" s="69">
        <v>0.0</v>
      </c>
      <c r="E26" s="70">
        <v>0.2916666666666667</v>
      </c>
      <c r="F26" s="70">
        <v>0.3819444444444444</v>
      </c>
      <c r="G26" s="71">
        <f t="shared" si="5"/>
        <v>0.09027777778</v>
      </c>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7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row>
    <row r="27" ht="30.0" customHeight="1">
      <c r="A27" s="8"/>
      <c r="B27" s="67" t="s">
        <v>46</v>
      </c>
      <c r="C27" s="68" t="s">
        <v>26</v>
      </c>
      <c r="D27" s="69">
        <v>0.0</v>
      </c>
      <c r="E27" s="70">
        <v>0.2916666666666667</v>
      </c>
      <c r="F27" s="70">
        <v>0.3819444444444444</v>
      </c>
      <c r="G27" s="71">
        <f t="shared" si="5"/>
        <v>0.09027777778</v>
      </c>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72"/>
      <c r="BF27" s="7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row>
    <row r="28" ht="30.0" customHeight="1">
      <c r="A28" s="8"/>
      <c r="B28" s="67" t="s">
        <v>47</v>
      </c>
      <c r="C28" s="68" t="s">
        <v>26</v>
      </c>
      <c r="D28" s="69">
        <v>0.0</v>
      </c>
      <c r="E28" s="70">
        <v>0.2916666666666667</v>
      </c>
      <c r="F28" s="70">
        <v>0.3472222222222222</v>
      </c>
      <c r="G28" s="71">
        <f t="shared" si="5"/>
        <v>0.05555555556</v>
      </c>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7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row>
    <row r="29" ht="30.0" customHeight="1">
      <c r="A29" s="8"/>
      <c r="B29" s="67" t="s">
        <v>48</v>
      </c>
      <c r="C29" s="68" t="s">
        <v>26</v>
      </c>
      <c r="D29" s="69">
        <v>0.0</v>
      </c>
      <c r="E29" s="70">
        <v>0.2916666666666667</v>
      </c>
      <c r="F29" s="70">
        <v>0.3819444444444444</v>
      </c>
      <c r="G29" s="71">
        <f t="shared" si="5"/>
        <v>0.09027777778</v>
      </c>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72"/>
      <c r="BM29" s="7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row>
    <row r="30" ht="30.0" customHeight="1">
      <c r="A30" s="8"/>
      <c r="B30" s="67" t="s">
        <v>49</v>
      </c>
      <c r="C30" s="68" t="s">
        <v>26</v>
      </c>
      <c r="D30" s="69">
        <v>0.0</v>
      </c>
      <c r="E30" s="70">
        <v>0.2916666666666667</v>
      </c>
      <c r="F30" s="70">
        <v>0.3819444444444444</v>
      </c>
      <c r="G30" s="71">
        <f t="shared" si="5"/>
        <v>0.09027777778</v>
      </c>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72"/>
      <c r="BQ30" s="32"/>
      <c r="BR30" s="32"/>
      <c r="BS30" s="32"/>
      <c r="BT30" s="32"/>
      <c r="BU30" s="32"/>
      <c r="BV30" s="32"/>
      <c r="BW30" s="32"/>
      <c r="BX30" s="32"/>
      <c r="BY30" s="32"/>
      <c r="BZ30" s="32"/>
      <c r="CA30" s="32"/>
      <c r="CB30" s="32"/>
      <c r="CC30" s="32"/>
      <c r="CD30" s="32"/>
      <c r="CE30" s="32"/>
      <c r="CF30" s="32"/>
      <c r="CG30" s="32"/>
      <c r="CH30" s="32"/>
      <c r="CI30" s="32"/>
      <c r="CJ30" s="32"/>
      <c r="CK30" s="32"/>
      <c r="CL30" s="32"/>
      <c r="CM30" s="32"/>
    </row>
    <row r="31" ht="30.0" customHeight="1">
      <c r="A31" s="8"/>
      <c r="B31" s="67" t="s">
        <v>50</v>
      </c>
      <c r="C31" s="68" t="s">
        <v>26</v>
      </c>
      <c r="D31" s="69">
        <v>0.0</v>
      </c>
      <c r="E31" s="70">
        <v>0.2916666666666667</v>
      </c>
      <c r="F31" s="70">
        <v>0.3472222222222222</v>
      </c>
      <c r="G31" s="71">
        <f t="shared" si="5"/>
        <v>0.05555555556</v>
      </c>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72"/>
      <c r="BT31" s="72"/>
      <c r="BU31" s="32"/>
      <c r="BV31" s="32"/>
      <c r="BW31" s="32"/>
      <c r="BX31" s="32"/>
      <c r="BY31" s="32"/>
      <c r="BZ31" s="32"/>
      <c r="CA31" s="32"/>
      <c r="CB31" s="32"/>
      <c r="CC31" s="32"/>
      <c r="CD31" s="32"/>
      <c r="CE31" s="32"/>
      <c r="CF31" s="32"/>
      <c r="CG31" s="32"/>
      <c r="CH31" s="32"/>
      <c r="CI31" s="32"/>
      <c r="CJ31" s="32"/>
      <c r="CK31" s="32"/>
      <c r="CL31" s="32"/>
      <c r="CM31" s="32"/>
    </row>
    <row r="32" ht="30.0" customHeight="1">
      <c r="A32" s="8"/>
      <c r="B32" s="67" t="s">
        <v>51</v>
      </c>
      <c r="C32" s="68" t="s">
        <v>26</v>
      </c>
      <c r="D32" s="69">
        <v>0.0</v>
      </c>
      <c r="E32" s="70">
        <v>0.2916666666666667</v>
      </c>
      <c r="F32" s="70">
        <v>0.3819444444444444</v>
      </c>
      <c r="G32" s="71">
        <f t="shared" si="5"/>
        <v>0.09027777778</v>
      </c>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72"/>
      <c r="BX32" s="32"/>
      <c r="BY32" s="32"/>
      <c r="BZ32" s="32"/>
      <c r="CA32" s="32"/>
      <c r="CB32" s="32"/>
      <c r="CC32" s="32"/>
      <c r="CD32" s="32"/>
      <c r="CE32" s="32"/>
      <c r="CF32" s="32"/>
      <c r="CG32" s="32"/>
      <c r="CH32" s="32"/>
      <c r="CI32" s="32"/>
      <c r="CJ32" s="32"/>
      <c r="CK32" s="32"/>
      <c r="CL32" s="32"/>
      <c r="CM32" s="32"/>
    </row>
    <row r="33" ht="30.0" customHeight="1">
      <c r="A33" s="8"/>
      <c r="B33" s="67" t="s">
        <v>52</v>
      </c>
      <c r="C33" s="68" t="s">
        <v>26</v>
      </c>
      <c r="D33" s="69">
        <v>0.0</v>
      </c>
      <c r="E33" s="70">
        <v>0.2916666666666667</v>
      </c>
      <c r="F33" s="70">
        <v>0.3819444444444444</v>
      </c>
      <c r="G33" s="71">
        <f t="shared" si="5"/>
        <v>0.09027777778</v>
      </c>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72"/>
      <c r="CA33" s="72"/>
      <c r="CB33" s="32"/>
      <c r="CC33" s="32"/>
      <c r="CD33" s="32"/>
      <c r="CE33" s="32"/>
      <c r="CF33" s="32"/>
      <c r="CG33" s="32"/>
      <c r="CH33" s="32"/>
      <c r="CI33" s="32"/>
      <c r="CJ33" s="32"/>
      <c r="CK33" s="32"/>
      <c r="CL33" s="32"/>
      <c r="CM33" s="32"/>
    </row>
    <row r="34" ht="30.0" customHeight="1">
      <c r="A34" s="8"/>
      <c r="B34" s="67" t="s">
        <v>53</v>
      </c>
      <c r="C34" s="68" t="s">
        <v>26</v>
      </c>
      <c r="D34" s="69">
        <v>0.0</v>
      </c>
      <c r="E34" s="70">
        <v>0.2916666666666667</v>
      </c>
      <c r="F34" s="70">
        <v>0.3472222222222222</v>
      </c>
      <c r="G34" s="71">
        <f t="shared" si="5"/>
        <v>0.05555555556</v>
      </c>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72"/>
      <c r="CE34" s="32"/>
      <c r="CF34" s="32"/>
      <c r="CG34" s="32"/>
      <c r="CH34" s="32"/>
      <c r="CI34" s="32"/>
      <c r="CJ34" s="32"/>
      <c r="CK34" s="32"/>
      <c r="CL34" s="32"/>
      <c r="CM34" s="32"/>
    </row>
    <row r="35" ht="30.0" customHeight="1">
      <c r="A35" s="8"/>
      <c r="B35" s="67" t="s">
        <v>54</v>
      </c>
      <c r="C35" s="68" t="s">
        <v>26</v>
      </c>
      <c r="D35" s="69">
        <v>0.0</v>
      </c>
      <c r="E35" s="70">
        <v>0.2916666666666667</v>
      </c>
      <c r="F35" s="70">
        <v>0.3819444444444444</v>
      </c>
      <c r="G35" s="71">
        <f t="shared" si="5"/>
        <v>0.09027777778</v>
      </c>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72"/>
      <c r="CH35" s="72"/>
      <c r="CI35" s="32"/>
      <c r="CJ35" s="32"/>
      <c r="CK35" s="32"/>
      <c r="CL35" s="32"/>
      <c r="CM35" s="32"/>
    </row>
    <row r="36" ht="30.0" customHeight="1">
      <c r="A36" s="8"/>
      <c r="B36" s="67" t="s">
        <v>34</v>
      </c>
      <c r="C36" s="72"/>
      <c r="D36" s="69"/>
      <c r="E36" s="70"/>
      <c r="F36" s="70"/>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32"/>
      <c r="CK36" s="32"/>
      <c r="CL36" s="32"/>
      <c r="CM36" s="32"/>
    </row>
    <row r="37" ht="30.0" customHeight="1">
      <c r="A37" s="8" t="s">
        <v>42</v>
      </c>
      <c r="B37" s="73" t="s">
        <v>55</v>
      </c>
      <c r="C37" s="74"/>
      <c r="D37" s="75"/>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6"/>
      <c r="CA37" s="76"/>
      <c r="CB37" s="76"/>
      <c r="CC37" s="76"/>
      <c r="CD37" s="76"/>
      <c r="CE37" s="76"/>
      <c r="CF37" s="76"/>
      <c r="CG37" s="76"/>
      <c r="CH37" s="76"/>
      <c r="CI37" s="76"/>
      <c r="CJ37" s="76"/>
      <c r="CK37" s="76"/>
      <c r="CL37" s="76"/>
      <c r="CM37" s="76"/>
    </row>
    <row r="38" ht="30.0" customHeight="1">
      <c r="A38" s="8"/>
      <c r="B38" s="77" t="s">
        <v>56</v>
      </c>
      <c r="C38" s="78" t="s">
        <v>26</v>
      </c>
      <c r="D38" s="79">
        <v>0.0</v>
      </c>
      <c r="E38" s="80">
        <v>0.2916666666666667</v>
      </c>
      <c r="F38" s="80">
        <v>0.3819444444444444</v>
      </c>
      <c r="G38" s="71">
        <f t="shared" ref="G38:G39" si="6">F38-E38</f>
        <v>0.09027777778</v>
      </c>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81"/>
      <c r="CH38" s="81"/>
      <c r="CI38" s="32"/>
      <c r="CJ38" s="32"/>
      <c r="CK38" s="32"/>
      <c r="CL38" s="32"/>
      <c r="CM38" s="32"/>
    </row>
    <row r="39" ht="30.0" customHeight="1">
      <c r="A39" s="8"/>
      <c r="B39" s="77" t="s">
        <v>57</v>
      </c>
      <c r="C39" s="78" t="s">
        <v>26</v>
      </c>
      <c r="D39" s="79">
        <v>0.0</v>
      </c>
      <c r="E39" s="80">
        <v>0.2916666666666667</v>
      </c>
      <c r="F39" s="80">
        <v>0.3472222222222222</v>
      </c>
      <c r="G39" s="71">
        <f t="shared" si="6"/>
        <v>0.05555555556</v>
      </c>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81"/>
      <c r="CL39" s="32"/>
      <c r="CM39" s="32"/>
    </row>
    <row r="40" ht="30.0" customHeight="1">
      <c r="A40" s="8"/>
      <c r="B40" s="82" t="s">
        <v>34</v>
      </c>
      <c r="C40" s="83" t="s">
        <v>26</v>
      </c>
      <c r="D40" s="84"/>
      <c r="E40" s="81"/>
      <c r="F40" s="81"/>
      <c r="G40" s="32"/>
      <c r="H40" s="32"/>
      <c r="I40" s="32"/>
      <c r="J40" s="32"/>
      <c r="K40" s="32"/>
      <c r="L40" s="32"/>
      <c r="M40" s="32"/>
      <c r="N40" s="32"/>
      <c r="O40" s="32"/>
      <c r="P40" s="32"/>
      <c r="Q40" s="32"/>
      <c r="R40" s="32"/>
      <c r="S40" s="32"/>
      <c r="T40" s="32"/>
      <c r="U40" s="32"/>
      <c r="V40" s="32"/>
      <c r="W40" s="32"/>
      <c r="X40" s="32"/>
      <c r="Y40" s="32"/>
      <c r="Z40" s="32"/>
      <c r="AA40" s="32"/>
      <c r="AB40" s="32"/>
      <c r="AC40" s="44"/>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81"/>
      <c r="CH40" s="81"/>
      <c r="CI40" s="81"/>
      <c r="CJ40" s="81"/>
      <c r="CK40" s="81"/>
      <c r="CL40" s="81"/>
      <c r="CM40" s="32"/>
    </row>
    <row r="41" ht="30.0" customHeight="1">
      <c r="A41" s="8"/>
      <c r="C41" s="85"/>
      <c r="E41" s="10"/>
    </row>
    <row r="42" ht="30.0" customHeight="1">
      <c r="A42" s="8"/>
      <c r="B42" s="86" t="s">
        <v>58</v>
      </c>
      <c r="C42" s="86" t="s">
        <v>59</v>
      </c>
      <c r="E42" s="10"/>
    </row>
    <row r="43" ht="30.0" customHeight="1">
      <c r="A43" s="8"/>
      <c r="B43" s="86" t="s">
        <v>60</v>
      </c>
      <c r="C43" s="86" t="s">
        <v>61</v>
      </c>
      <c r="D43" s="87"/>
      <c r="E43" s="10"/>
    </row>
    <row r="44" ht="30.0" customHeight="1">
      <c r="A44" s="8"/>
      <c r="C44" s="86" t="s">
        <v>62</v>
      </c>
      <c r="E44" s="10"/>
    </row>
    <row r="45" ht="30.0" customHeight="1">
      <c r="A45" s="8"/>
      <c r="E45" s="10"/>
    </row>
    <row r="46" ht="30.0" customHeight="1">
      <c r="A46" s="8"/>
      <c r="E46" s="10"/>
    </row>
    <row r="47" ht="30.0" customHeight="1">
      <c r="A47" s="8"/>
      <c r="B47" s="86" t="s">
        <v>63</v>
      </c>
      <c r="E47" s="10"/>
    </row>
    <row r="48" ht="30.0" customHeight="1">
      <c r="A48" s="8"/>
      <c r="B48" s="86" t="s">
        <v>64</v>
      </c>
      <c r="E48" s="10"/>
    </row>
    <row r="49" ht="30.0" customHeight="1">
      <c r="A49" s="8"/>
      <c r="E49" s="10"/>
    </row>
    <row r="50" ht="30.0" customHeight="1">
      <c r="A50" s="8"/>
      <c r="E50" s="10"/>
    </row>
    <row r="51" ht="30.0" customHeight="1">
      <c r="A51" s="8"/>
      <c r="E51" s="10"/>
    </row>
    <row r="52" ht="30.0" customHeight="1">
      <c r="A52" s="8"/>
      <c r="E52" s="10"/>
    </row>
    <row r="53" ht="30.0" customHeight="1">
      <c r="A53" s="8"/>
      <c r="E53" s="10"/>
    </row>
    <row r="54" ht="30.0" customHeight="1">
      <c r="A54" s="8"/>
      <c r="E54" s="10"/>
    </row>
    <row r="55" ht="30.0" customHeight="1">
      <c r="A55" s="8"/>
      <c r="E55" s="10"/>
    </row>
    <row r="56" ht="30.0" customHeight="1">
      <c r="A56" s="8"/>
      <c r="E56" s="10"/>
    </row>
    <row r="57" ht="30.0" customHeight="1">
      <c r="A57" s="8"/>
      <c r="E57" s="10"/>
    </row>
    <row r="58" ht="30.0" customHeight="1">
      <c r="A58" s="8"/>
      <c r="E58" s="10"/>
    </row>
    <row r="59" ht="30.0" customHeight="1">
      <c r="A59" s="8"/>
      <c r="E59" s="10"/>
    </row>
    <row r="60" ht="30.0" customHeight="1">
      <c r="A60" s="8"/>
      <c r="E60" s="10"/>
    </row>
    <row r="61" ht="30.0" customHeight="1">
      <c r="A61" s="8"/>
      <c r="E61" s="10"/>
    </row>
    <row r="62" ht="30.0" customHeight="1">
      <c r="A62" s="8"/>
      <c r="E62" s="10"/>
    </row>
    <row r="63" ht="30.0" customHeight="1">
      <c r="A63" s="8"/>
      <c r="E63" s="10"/>
    </row>
    <row r="64" ht="30.0" customHeight="1">
      <c r="A64" s="8"/>
      <c r="E64" s="10"/>
    </row>
    <row r="65" ht="30.0" customHeight="1">
      <c r="A65" s="8"/>
      <c r="E65" s="10"/>
    </row>
    <row r="66" ht="30.0" customHeight="1">
      <c r="A66" s="8"/>
      <c r="E66" s="10"/>
    </row>
    <row r="67" ht="30.0" customHeight="1">
      <c r="A67" s="8"/>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row r="993" ht="30.0" customHeight="1">
      <c r="A993" s="8"/>
      <c r="E993" s="10"/>
    </row>
    <row r="994" ht="30.0" customHeight="1">
      <c r="A994" s="8"/>
      <c r="E994" s="10"/>
    </row>
    <row r="995" ht="30.0" customHeight="1">
      <c r="A995" s="8"/>
      <c r="E995" s="10"/>
    </row>
    <row r="996" ht="30.0" customHeight="1">
      <c r="A996" s="8"/>
      <c r="E996" s="10"/>
    </row>
    <row r="997" ht="30.0" customHeight="1">
      <c r="A997" s="8"/>
      <c r="E997" s="10"/>
    </row>
    <row r="998" ht="30.0" customHeight="1">
      <c r="A998" s="8"/>
      <c r="E998" s="10"/>
    </row>
    <row r="999" ht="30.0" customHeight="1">
      <c r="A999" s="8"/>
      <c r="E999" s="10"/>
    </row>
  </sheetData>
  <mergeCells count="7">
    <mergeCell ref="C3:D3"/>
    <mergeCell ref="E3:F3"/>
    <mergeCell ref="C4:D4"/>
    <mergeCell ref="H4:AD4"/>
    <mergeCell ref="AE4:BH4"/>
    <mergeCell ref="BI4:CL4"/>
    <mergeCell ref="B5:F5"/>
  </mergeCells>
  <conditionalFormatting sqref="CM4:CM7 H5:CL7 J9:K15 L9 M9:N15 O9:P10 Q9:R15 S9:S11 T9:U15 V9:W12 X9:Y15 Z9:Z13 AA9:AB15 AC9:AD14 AE9:AE15 AF9:CM16 H10:I15 L11:L15 O12:P15 S13:S15 V14:W15 Z15 G16 H18:AF23 AH18:AI22 AJ18:AK18 AL18:AM22 AN18:AN19 AO18:AP22 AQ18:AR20 AS18:AT22 AU18:AU21 AV18:AV22 AW18:CM23 AG19:AG22 AJ20:AK22 AN21:AN22 AQ22:AR22 G23 H25:AW36 AZ25:BA35 BB25 BC25:BD35 BE25:BF26 BG25:BH35 BI25:BI27 BJ25:BK35 BL25:BM28 BN25:BO35 BP25:BP29 BQ25:BR35 BS25:BT30 BU25:BV35 BW25:BW31 BX25:BY35 BZ25:CA32 CB25:CC35 CD25:CD33 CE25:CF35 CG25:CH34 CI25:CI35 CJ25:CM36 AX26:AY35 BB27:BB35 BE28:BF35 BI29:BI35 BL30:BM35 BP31:BP35 BS32:BT35 BW33:BW35 BZ34:CA35 CD35 G36 H38:CF40 CI38:CJ39 CK38 CL38:CL39 CM38:CM40 CG39:CH39 G40 B42">
    <cfRule type="expression" dxfId="0" priority="1">
      <formula>AND(TODAY()&gt;=CM$5,TODAY()&lt;CN$5)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printOptions horizontalCentered="1"/>
  <pageMargins bottom="0.5" footer="0.0" header="0.0" left="0.35" right="0.35" top="0.35"/>
  <pageSetup fitToHeight="0" paperSize="9" orientation="landscape"/>
  <headerFoot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2019-03-19T17:17:03Z</dcterms:created>
</cp:coreProperties>
</file>